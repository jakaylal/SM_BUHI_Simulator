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c839b508a784ff/CSU -teaching/MKTG3138/Simulation/"/>
    </mc:Choice>
  </mc:AlternateContent>
  <xr:revisionPtr revIDLastSave="0" documentId="8_{2149A3A6-9231-45CB-B113-1DFA07E0DE45}" xr6:coauthVersionLast="47" xr6:coauthVersionMax="47" xr10:uidLastSave="{00000000-0000-0000-0000-000000000000}"/>
  <bookViews>
    <workbookView xWindow="-108" yWindow="-108" windowWidth="23256" windowHeight="14856" xr2:uid="{A5FD32B3-ECCC-46B8-95A3-DB773B7CE4D4}"/>
  </bookViews>
  <sheets>
    <sheet name="BUHI_Influencer_Comparison_Work" sheetId="1" r:id="rId1"/>
    <sheet name="Descrip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D23" i="1"/>
  <c r="F8" i="1"/>
  <c r="G8" i="1"/>
  <c r="G21" i="1" s="1"/>
  <c r="G22" i="1" s="1"/>
  <c r="G23" i="1" s="1"/>
  <c r="H8" i="1"/>
  <c r="H21" i="1" s="1"/>
  <c r="H22" i="1" s="1"/>
  <c r="H23" i="1" s="1"/>
  <c r="C8" i="1"/>
  <c r="C21" i="1" s="1"/>
  <c r="C22" i="1" s="1"/>
  <c r="C23" i="1" s="1"/>
  <c r="E8" i="1"/>
  <c r="E21" i="1" s="1"/>
  <c r="E22" i="1" s="1"/>
  <c r="E23" i="1" s="1"/>
  <c r="D6" i="2"/>
  <c r="D5" i="2"/>
  <c r="D4" i="2"/>
</calcChain>
</file>

<file path=xl/sharedStrings.xml><?xml version="1.0" encoding="utf-8"?>
<sst xmlns="http://schemas.openxmlformats.org/spreadsheetml/2006/main" count="80" uniqueCount="77">
  <si>
    <t>Metric</t>
  </si>
  <si>
    <t>WHY IT MATTERS</t>
  </si>
  <si>
    <t>Olivia "Liv" Monroe</t>
  </si>
  <si>
    <t xml:space="preserve"> </t>
  </si>
  <si>
    <t>Dylan Park</t>
  </si>
  <si>
    <t>Column1</t>
  </si>
  <si>
    <t>INFLUENCER A</t>
  </si>
  <si>
    <t>INFLUENCER B</t>
  </si>
  <si>
    <t>Facebook</t>
  </si>
  <si>
    <t>Instagram Followers</t>
  </si>
  <si>
    <t>TikTok Followers</t>
  </si>
  <si>
    <t>X Followers</t>
  </si>
  <si>
    <t>YouTube Followers</t>
  </si>
  <si>
    <t>Pinterest Followers</t>
  </si>
  <si>
    <r>
      <rPr>
        <b/>
        <sz val="11"/>
        <color theme="1"/>
        <rFont val="Calibri"/>
        <family val="2"/>
        <scheme val="minor"/>
      </rPr>
      <t xml:space="preserve">TOTAL Followers 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0"/>
        <color theme="1"/>
        <rFont val="Calibri"/>
        <family val="2"/>
        <scheme val="minor"/>
      </rPr>
      <t>(Facebook +Insta + X + TikTok + YouTube + Pinterest)</t>
    </r>
  </si>
  <si>
    <r>
      <rPr>
        <b/>
        <sz val="11"/>
        <color theme="1"/>
        <rFont val="Calibri"/>
        <family val="2"/>
        <scheme val="minor"/>
      </rPr>
      <t>Shows Multi-Platform Reach:</t>
    </r>
    <r>
      <rPr>
        <sz val="11"/>
        <color theme="1"/>
        <rFont val="Calibri"/>
        <family val="2"/>
        <scheme val="minor"/>
      </rPr>
      <t xml:space="preserve">
Does this Influencer's platforms align with BUHI’s platforms for your selected persona?</t>
    </r>
  </si>
  <si>
    <r>
      <t xml:space="preserve">Add Core Performance Data: </t>
    </r>
    <r>
      <rPr>
        <i/>
        <sz val="10"/>
        <color rgb="FFC00000"/>
        <rFont val="Calibri"/>
        <family val="2"/>
        <scheme val="minor"/>
      </rPr>
      <t>ENSURES INFLUENCER IS CREDIBLE &amp; COST-EFFECTIVE</t>
    </r>
  </si>
  <si>
    <t>Authenticity %</t>
  </si>
  <si>
    <t>Ascertains real followers vs. bots</t>
  </si>
  <si>
    <t>Avg Impressions/Post</t>
  </si>
  <si>
    <t>How many times a post is seen</t>
  </si>
  <si>
    <t>Likes/Post</t>
  </si>
  <si>
    <t>Quick reactions and appreciation</t>
  </si>
  <si>
    <t>Comments/Post</t>
  </si>
  <si>
    <t>Conversation sparked by content</t>
  </si>
  <si>
    <t>Historic Engagement Rate (HER) / post</t>
  </si>
  <si>
    <t>Followers who regularly interact</t>
  </si>
  <si>
    <r>
      <t xml:space="preserve">CPE ($) </t>
    </r>
    <r>
      <rPr>
        <i/>
        <sz val="10"/>
        <color theme="1"/>
        <rFont val="Calibri"/>
        <family val="2"/>
        <scheme val="minor"/>
      </rPr>
      <t>(Cost per Engagement)</t>
    </r>
  </si>
  <si>
    <t>Price for each meaningful interaction</t>
  </si>
  <si>
    <t>Quality Score</t>
  </si>
  <si>
    <t>Professionalism and brand alignment report card</t>
  </si>
  <si>
    <t>MoM Growth Rate</t>
  </si>
  <si>
    <t>Signals algorithm favor and audience momentum</t>
  </si>
  <si>
    <t>Post Frequency</t>
  </si>
  <si>
    <t>How often the Influencer posts content</t>
  </si>
  <si>
    <t>daily</t>
  </si>
  <si>
    <t>Comment Sentiment</t>
  </si>
  <si>
    <t>Positive community reactions</t>
  </si>
  <si>
    <t>Mostly Positive</t>
  </si>
  <si>
    <r>
      <rPr>
        <b/>
        <sz val="11"/>
        <color theme="1"/>
        <rFont val="Calibri"/>
        <family val="2"/>
        <scheme val="minor"/>
      </rPr>
      <t>Total Effective Audience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0"/>
        <color theme="1"/>
        <rFont val="Calibri"/>
        <family val="2"/>
        <scheme val="minor"/>
      </rPr>
      <t>(Total Followers * Authenticty %)</t>
    </r>
  </si>
  <si>
    <r>
      <rPr>
        <b/>
        <sz val="11"/>
        <color theme="1"/>
        <rFont val="Calibri"/>
        <family val="2"/>
        <scheme val="minor"/>
      </rPr>
      <t xml:space="preserve">True Audience Size: 
</t>
    </r>
    <r>
      <rPr>
        <sz val="11"/>
        <color theme="1"/>
        <rFont val="Calibri"/>
        <family val="2"/>
        <scheme val="minor"/>
      </rPr>
      <t>After filtering fake/bot followers.</t>
    </r>
  </si>
  <si>
    <r>
      <t xml:space="preserve">Effective Engagement
</t>
    </r>
    <r>
      <rPr>
        <i/>
        <sz val="10"/>
        <color theme="1"/>
        <rFont val="Calibri"/>
        <family val="2"/>
        <scheme val="minor"/>
      </rPr>
      <t>(Total Effective Audience x HER%)</t>
    </r>
  </si>
  <si>
    <r>
      <rPr>
        <b/>
        <sz val="11"/>
        <color theme="1"/>
        <rFont val="Calibri"/>
        <family val="2"/>
        <scheme val="minor"/>
      </rPr>
      <t xml:space="preserve"># of Genuinely Active Followers: </t>
    </r>
    <r>
      <rPr>
        <sz val="11"/>
        <color theme="1"/>
        <rFont val="Calibri"/>
        <family val="2"/>
        <scheme val="minor"/>
      </rPr>
      <t xml:space="preserve">
More meaningful than total likes.</t>
    </r>
  </si>
  <si>
    <r>
      <t xml:space="preserve">ROI Comparison: </t>
    </r>
    <r>
      <rPr>
        <sz val="11"/>
        <color theme="1"/>
        <rFont val="Calibri"/>
        <family val="2"/>
        <scheme val="minor"/>
      </rPr>
      <t>The # of verified, high-quality engagements achieved for $1 spent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(</t>
    </r>
    <r>
      <rPr>
        <i/>
        <sz val="10"/>
        <color theme="1"/>
        <rFont val="Calibri"/>
        <family val="2"/>
        <scheme val="minor"/>
      </rPr>
      <t xml:space="preserve">Eff. Engagement / CPE)
</t>
    </r>
    <r>
      <rPr>
        <b/>
        <sz val="10"/>
        <color rgb="FFC00000"/>
        <rFont val="Calibri"/>
        <family val="2"/>
        <scheme val="minor"/>
      </rPr>
      <t>THE HIGHER THE NUMBER, THE BETTER</t>
    </r>
  </si>
  <si>
    <r>
      <t xml:space="preserve">Quantifies Cost-Efficiency: 
</t>
    </r>
    <r>
      <rPr>
        <sz val="11"/>
        <color theme="1"/>
        <rFont val="Calibri"/>
        <family val="2"/>
        <scheme val="minor"/>
      </rPr>
      <t xml:space="preserve">Allows you to make an "apples-to-apples" comparison across Influencers </t>
    </r>
  </si>
  <si>
    <t>Step</t>
  </si>
  <si>
    <t>Action</t>
  </si>
  <si>
    <t>Why It Matters</t>
  </si>
  <si>
    <t>Formula Example</t>
  </si>
  <si>
    <t>Formula</t>
  </si>
  <si>
    <t>1. Record Platform Followers</t>
  </si>
  <si>
    <t>List each influencer’s followers by platform (Instagram, TikTok, YouTube, Pinterest). Identify which platform aligns best with BUHI’s core audience (19–32).</t>
  </si>
  <si>
    <t>Follower counts provide potential reach but need validation through authenticity and engagement metrics.</t>
  </si>
  <si>
    <t>—</t>
  </si>
  <si>
    <t>2. Add Core Performance Metrics</t>
  </si>
  <si>
    <t>Add Quality Score, Authenticity %, Engagement Rate, Avg Impressions/Post, and Cost per Engagement (CPE) from the simulation data sheet.</t>
  </si>
  <si>
    <t>Combining these metrics gives a balanced picture of quality and ROI.</t>
  </si>
  <si>
    <t>3. Calculate Effective Audience</t>
  </si>
  <si>
    <t>Use formula: Followers × Authenticity %. This represents the influencer’s *real* potential reach.</t>
  </si>
  <si>
    <t>Authenticity ensures the audience is genuine — no inflated or bot-driven numbers.</t>
  </si>
  <si>
    <t>Followers * (Authenticity % / 100)</t>
  </si>
  <si>
    <t>4. Calculate Effective Engagement</t>
  </si>
  <si>
    <t>Use formula: Effective Audience × Historic Engagement Rate. This shows active, high-quality engagement.</t>
  </si>
  <si>
    <t>Engagement shows real resonance with the content; higher means more brand influence.</t>
  </si>
  <si>
    <t>Effective Audience * (Engagement Rate / 100)</t>
  </si>
  <si>
    <t>5. Compute ROI Index</t>
  </si>
  <si>
    <t>Use formula: (Effective Engagement ÷ CPE). This measures how efficiently each influencer drives real interactions for the cost.</t>
  </si>
  <si>
    <t>The ROI Index reveals cost-effectiveness — critical for staying under budget while meeting impression/revenue targets.</t>
  </si>
  <si>
    <t>Effective Engagement / CPE</t>
  </si>
  <si>
    <t>6. Evaluate Sentiment &amp; Growth</t>
  </si>
  <si>
    <t>Check Comment Sentiment, Month-over-Month Growth Rate, and Post Frequency to evaluate audience tone and momentum.</t>
  </si>
  <si>
    <t>Positive sentiment and growth indicate sustainable brand partnership potential.</t>
  </si>
  <si>
    <t>Qualitative review: Sentiment &gt;80%, Growth &gt;5%, 2–5 posts/week ideal.</t>
  </si>
  <si>
    <t>7. Align with BUHI Persona</t>
  </si>
  <si>
    <t>Match influencer’s tone, audience interests, and content focus to one of BUHI’s personas (e.g., Energetic Jill, Seaside Sally).</t>
  </si>
  <si>
    <t>Persona alignment ensures influencer’s followers match BUHI’s target customer behaviors and lifestyle.</t>
  </si>
  <si>
    <t>Qualitative match: Voice, style, and content relevance to BUHI persona.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</si>
</sst>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i/>
      <sz val="10"/>
      <color rgb="FFC00000"/>
      <name val="Calibri"/>
      <family val="2"/>
      <scheme val="minor"/>
    </font>
    <font>
      <i/>
      <sz val="10"/>
      <color rgb="FFC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3" fontId="0" fillId="0" borderId="0" xfId="0" applyNumberFormat="1"/>
    <xf numFmtId="3" fontId="0" fillId="0" borderId="14" xfId="0" applyNumberFormat="1" applyBorder="1"/>
    <xf numFmtId="0" fontId="0" fillId="0" borderId="14" xfId="0" applyBorder="1"/>
    <xf numFmtId="3" fontId="0" fillId="33" borderId="10" xfId="0" applyNumberFormat="1" applyFill="1" applyBorder="1"/>
    <xf numFmtId="44" fontId="0" fillId="0" borderId="14" xfId="1" applyFont="1" applyBorder="1"/>
    <xf numFmtId="0" fontId="0" fillId="0" borderId="21" xfId="0" applyBorder="1"/>
    <xf numFmtId="164" fontId="0" fillId="0" borderId="14" xfId="0" applyNumberFormat="1" applyBorder="1"/>
    <xf numFmtId="0" fontId="18" fillId="0" borderId="15" xfId="0" applyFont="1" applyBorder="1" applyAlignment="1">
      <alignment horizontal="center" vertical="center"/>
    </xf>
    <xf numFmtId="3" fontId="16" fillId="33" borderId="20" xfId="0" applyNumberFormat="1" applyFont="1" applyFill="1" applyBorder="1"/>
    <xf numFmtId="3" fontId="16" fillId="33" borderId="23" xfId="0" applyNumberFormat="1" applyFont="1" applyFill="1" applyBorder="1" applyAlignment="1">
      <alignment vertical="center"/>
    </xf>
    <xf numFmtId="0" fontId="0" fillId="34" borderId="14" xfId="0" applyFill="1" applyBorder="1" applyAlignment="1">
      <alignment horizontal="left" vertical="center" wrapText="1"/>
    </xf>
    <xf numFmtId="0" fontId="0" fillId="34" borderId="11" xfId="0" applyFill="1" applyBorder="1"/>
    <xf numFmtId="0" fontId="16" fillId="0" borderId="15" xfId="0" applyFont="1" applyBorder="1" applyAlignment="1">
      <alignment horizontal="center" vertical="top"/>
    </xf>
    <xf numFmtId="0" fontId="1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49" fontId="0" fillId="0" borderId="14" xfId="0" applyNumberFormat="1" applyBorder="1" applyAlignment="1">
      <alignment horizontal="right"/>
    </xf>
    <xf numFmtId="0" fontId="0" fillId="0" borderId="0" xfId="0" applyAlignment="1">
      <alignment vertical="top"/>
    </xf>
    <xf numFmtId="3" fontId="0" fillId="35" borderId="13" xfId="0" applyNumberFormat="1" applyFill="1" applyBorder="1"/>
    <xf numFmtId="0" fontId="0" fillId="35" borderId="13" xfId="0" applyFill="1" applyBorder="1"/>
    <xf numFmtId="164" fontId="0" fillId="35" borderId="13" xfId="0" applyNumberFormat="1" applyFill="1" applyBorder="1"/>
    <xf numFmtId="44" fontId="0" fillId="35" borderId="13" xfId="1" applyFont="1" applyFill="1" applyBorder="1"/>
    <xf numFmtId="3" fontId="16" fillId="35" borderId="13" xfId="0" applyNumberFormat="1" applyFont="1" applyFill="1" applyBorder="1"/>
    <xf numFmtId="49" fontId="0" fillId="35" borderId="13" xfId="0" applyNumberFormat="1" applyFill="1" applyBorder="1" applyAlignment="1">
      <alignment horizontal="right"/>
    </xf>
    <xf numFmtId="165" fontId="0" fillId="0" borderId="14" xfId="43" applyNumberFormat="1" applyFont="1" applyBorder="1"/>
    <xf numFmtId="165" fontId="0" fillId="0" borderId="0" xfId="43" applyNumberFormat="1" applyFont="1"/>
    <xf numFmtId="9" fontId="0" fillId="0" borderId="17" xfId="44" applyFont="1" applyBorder="1"/>
    <xf numFmtId="2" fontId="0" fillId="0" borderId="17" xfId="0" applyNumberFormat="1" applyBorder="1"/>
    <xf numFmtId="44" fontId="0" fillId="0" borderId="19" xfId="1" applyFont="1" applyBorder="1"/>
    <xf numFmtId="1" fontId="0" fillId="0" borderId="14" xfId="0" applyNumberFormat="1" applyBorder="1"/>
    <xf numFmtId="1" fontId="0" fillId="35" borderId="13" xfId="0" applyNumberFormat="1" applyFill="1" applyBorder="1"/>
    <xf numFmtId="44" fontId="0" fillId="0" borderId="0" xfId="1" applyFont="1" applyBorder="1"/>
    <xf numFmtId="3" fontId="0" fillId="34" borderId="24" xfId="0" applyNumberFormat="1" applyFill="1" applyBorder="1"/>
    <xf numFmtId="0" fontId="0" fillId="34" borderId="24" xfId="0" applyFill="1" applyBorder="1"/>
    <xf numFmtId="44" fontId="0" fillId="34" borderId="25" xfId="1" applyFont="1" applyFill="1" applyBorder="1"/>
    <xf numFmtId="3" fontId="16" fillId="33" borderId="26" xfId="0" applyNumberFormat="1" applyFont="1" applyFill="1" applyBorder="1"/>
    <xf numFmtId="1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9" fontId="0" fillId="0" borderId="27" xfId="44" applyFont="1" applyBorder="1"/>
    <xf numFmtId="2" fontId="0" fillId="0" borderId="27" xfId="0" applyNumberFormat="1" applyBorder="1"/>
    <xf numFmtId="44" fontId="0" fillId="0" borderId="28" xfId="1" applyFont="1" applyBorder="1"/>
    <xf numFmtId="3" fontId="0" fillId="33" borderId="18" xfId="0" applyNumberFormat="1" applyFill="1" applyBorder="1"/>
    <xf numFmtId="3" fontId="16" fillId="34" borderId="10" xfId="0" applyNumberFormat="1" applyFont="1" applyFill="1" applyBorder="1"/>
    <xf numFmtId="0" fontId="0" fillId="0" borderId="14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33" borderId="22" xfId="0" applyFill="1" applyBorder="1" applyAlignment="1">
      <alignment vertical="center" wrapText="1"/>
    </xf>
    <xf numFmtId="0" fontId="0" fillId="33" borderId="20" xfId="0" applyFill="1" applyBorder="1" applyAlignment="1">
      <alignment vertical="center" wrapText="1"/>
    </xf>
    <xf numFmtId="0" fontId="16" fillId="33" borderId="22" xfId="0" applyFont="1" applyFill="1" applyBorder="1" applyAlignment="1">
      <alignment vertical="center" wrapText="1"/>
    </xf>
    <xf numFmtId="0" fontId="16" fillId="33" borderId="20" xfId="0" applyFont="1" applyFill="1" applyBorder="1" applyAlignment="1">
      <alignment vertical="center" wrapText="1"/>
    </xf>
    <xf numFmtId="9" fontId="0" fillId="0" borderId="28" xfId="44" applyFont="1" applyBorder="1"/>
    <xf numFmtId="0" fontId="0" fillId="0" borderId="14" xfId="0" applyBorder="1" applyAlignment="1">
      <alignment horizontal="right" wrapText="1"/>
    </xf>
    <xf numFmtId="0" fontId="0" fillId="35" borderId="13" xfId="0" applyFill="1" applyBorder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14" xfId="0" applyBorder="1" applyAlignment="1">
      <alignment vertical="center" wrapText="1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29" xfId="0" applyBorder="1"/>
    <xf numFmtId="0" fontId="0" fillId="0" borderId="33" xfId="0" applyBorder="1"/>
    <xf numFmtId="3" fontId="0" fillId="0" borderId="29" xfId="0" applyNumberFormat="1" applyBorder="1"/>
    <xf numFmtId="0" fontId="18" fillId="0" borderId="14" xfId="0" applyFont="1" applyBorder="1"/>
    <xf numFmtId="165" fontId="0" fillId="0" borderId="32" xfId="43" applyNumberFormat="1" applyFont="1" applyBorder="1"/>
    <xf numFmtId="165" fontId="1" fillId="0" borderId="32" xfId="43" applyNumberFormat="1" applyFont="1" applyBorder="1" applyAlignment="1">
      <alignment wrapText="1"/>
    </xf>
    <xf numFmtId="165" fontId="0" fillId="0" borderId="33" xfId="43" applyNumberFormat="1" applyFont="1" applyBorder="1"/>
    <xf numFmtId="0" fontId="18" fillId="0" borderId="35" xfId="0" applyFont="1" applyBorder="1" applyAlignment="1">
      <alignment horizontal="center" vertical="center"/>
    </xf>
    <xf numFmtId="165" fontId="1" fillId="0" borderId="34" xfId="43" applyNumberFormat="1" applyFont="1" applyBorder="1" applyAlignment="1">
      <alignment wrapText="1"/>
    </xf>
    <xf numFmtId="165" fontId="0" fillId="0" borderId="34" xfId="43" applyNumberFormat="1" applyFont="1" applyBorder="1"/>
    <xf numFmtId="165" fontId="0" fillId="0" borderId="36" xfId="43" applyNumberFormat="1" applyFont="1" applyBorder="1"/>
    <xf numFmtId="3" fontId="16" fillId="33" borderId="12" xfId="0" applyNumberFormat="1" applyFont="1" applyFill="1" applyBorder="1" applyAlignment="1">
      <alignment vertical="center"/>
    </xf>
    <xf numFmtId="3" fontId="16" fillId="34" borderId="16" xfId="0" applyNumberFormat="1" applyFont="1" applyFill="1" applyBorder="1" applyAlignment="1">
      <alignment vertical="center"/>
    </xf>
    <xf numFmtId="9" fontId="1" fillId="0" borderId="14" xfId="44" applyFont="1" applyFill="1" applyBorder="1"/>
    <xf numFmtId="3" fontId="0" fillId="0" borderId="13" xfId="0" applyNumberFormat="1" applyBorder="1"/>
    <xf numFmtId="9" fontId="1" fillId="0" borderId="0" xfId="44" applyFont="1" applyFill="1"/>
    <xf numFmtId="0" fontId="20" fillId="34" borderId="37" xfId="0" applyFont="1" applyFill="1" applyBorder="1" applyAlignment="1">
      <alignment vertical="center"/>
    </xf>
    <xf numFmtId="3" fontId="0" fillId="34" borderId="37" xfId="0" applyNumberFormat="1" applyFill="1" applyBorder="1"/>
    <xf numFmtId="0" fontId="0" fillId="34" borderId="37" xfId="0" applyFill="1" applyBorder="1"/>
    <xf numFmtId="0" fontId="20" fillId="34" borderId="38" xfId="0" applyFont="1" applyFill="1" applyBorder="1" applyAlignment="1">
      <alignment vertical="center"/>
    </xf>
    <xf numFmtId="3" fontId="16" fillId="34" borderId="12" xfId="0" applyNumberFormat="1" applyFont="1" applyFill="1" applyBorder="1" applyAlignment="1">
      <alignment vertical="center"/>
    </xf>
    <xf numFmtId="0" fontId="0" fillId="34" borderId="21" xfId="0" applyFill="1" applyBorder="1" applyAlignment="1">
      <alignment wrapText="1"/>
    </xf>
    <xf numFmtId="3" fontId="16" fillId="34" borderId="0" xfId="0" applyNumberFormat="1" applyFont="1" applyFill="1" applyAlignment="1">
      <alignment vertical="center"/>
    </xf>
    <xf numFmtId="0" fontId="18" fillId="0" borderId="39" xfId="0" applyFont="1" applyBorder="1"/>
    <xf numFmtId="0" fontId="18" fillId="0" borderId="40" xfId="0" applyFont="1" applyBorder="1"/>
    <xf numFmtId="0" fontId="18" fillId="0" borderId="40" xfId="0" applyFont="1" applyBorder="1" applyAlignment="1">
      <alignment wrapText="1"/>
    </xf>
    <xf numFmtId="0" fontId="18" fillId="0" borderId="41" xfId="0" applyFont="1" applyBorder="1" applyAlignment="1">
      <alignment vertical="center"/>
    </xf>
    <xf numFmtId="0" fontId="0" fillId="0" borderId="22" xfId="0" applyBorder="1" applyAlignment="1">
      <alignment vertical="center" wrapText="1"/>
    </xf>
    <xf numFmtId="0" fontId="0" fillId="0" borderId="43" xfId="0" applyBorder="1" applyAlignment="1">
      <alignment horizontal="left" vertical="center" wrapText="1"/>
    </xf>
    <xf numFmtId="3" fontId="16" fillId="0" borderId="36" xfId="0" applyNumberFormat="1" applyFont="1" applyBorder="1" applyAlignment="1">
      <alignment vertical="center"/>
    </xf>
    <xf numFmtId="3" fontId="16" fillId="0" borderId="44" xfId="0" applyNumberFormat="1" applyFont="1" applyBorder="1" applyAlignment="1">
      <alignment vertical="center"/>
    </xf>
    <xf numFmtId="3" fontId="16" fillId="0" borderId="45" xfId="0" applyNumberFormat="1" applyFont="1" applyBorder="1" applyAlignment="1">
      <alignment vertical="center"/>
    </xf>
    <xf numFmtId="165" fontId="1" fillId="0" borderId="13" xfId="43" applyNumberFormat="1" applyFont="1" applyFill="1" applyBorder="1" applyAlignment="1">
      <alignment wrapText="1"/>
    </xf>
    <xf numFmtId="165" fontId="18" fillId="0" borderId="13" xfId="43" applyNumberFormat="1" applyFont="1" applyFill="1" applyBorder="1" applyAlignment="1">
      <alignment wrapText="1"/>
    </xf>
    <xf numFmtId="165" fontId="1" fillId="0" borderId="42" xfId="43" applyNumberFormat="1" applyFont="1" applyFill="1" applyBorder="1" applyAlignment="1">
      <alignment vertical="center"/>
    </xf>
    <xf numFmtId="165" fontId="0" fillId="0" borderId="13" xfId="43" applyNumberFormat="1" applyFont="1" applyFill="1" applyBorder="1"/>
    <xf numFmtId="165" fontId="0" fillId="0" borderId="42" xfId="43" applyNumberFormat="1" applyFont="1" applyFill="1" applyBorder="1"/>
    <xf numFmtId="164" fontId="1" fillId="0" borderId="14" xfId="44" applyNumberFormat="1" applyFont="1" applyFill="1" applyBorder="1"/>
    <xf numFmtId="164" fontId="1" fillId="0" borderId="0" xfId="44" applyNumberFormat="1" applyFont="1" applyFill="1"/>
    <xf numFmtId="9" fontId="0" fillId="0" borderId="46" xfId="44" applyFont="1" applyBorder="1"/>
    <xf numFmtId="3" fontId="16" fillId="36" borderId="26" xfId="0" applyNumberFormat="1" applyFont="1" applyFill="1" applyBorder="1" applyAlignment="1">
      <alignment vertical="center"/>
    </xf>
    <xf numFmtId="0" fontId="0" fillId="34" borderId="19" xfId="0" applyFill="1" applyBorder="1"/>
    <xf numFmtId="3" fontId="0" fillId="0" borderId="15" xfId="0" applyNumberFormat="1" applyBorder="1"/>
    <xf numFmtId="9" fontId="0" fillId="0" borderId="47" xfId="44" applyFont="1" applyBorder="1"/>
    <xf numFmtId="0" fontId="22" fillId="36" borderId="22" xfId="0" applyFont="1" applyFill="1" applyBorder="1"/>
    <xf numFmtId="0" fontId="0" fillId="36" borderId="20" xfId="0" applyFill="1" applyBorder="1" applyAlignment="1">
      <alignment horizontal="left" vertical="center" wrapText="1"/>
    </xf>
    <xf numFmtId="0" fontId="0" fillId="36" borderId="26" xfId="0" applyFill="1" applyBorder="1"/>
    <xf numFmtId="0" fontId="0" fillId="36" borderId="18" xfId="0" applyFill="1" applyBorder="1"/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4" builtinId="5"/>
    <cellStyle name="Title" xfId="2" builtinId="15" customBuiltin="1"/>
    <cellStyle name="Total" xfId="18" builtinId="25" customBuiltin="1"/>
    <cellStyle name="Warning Text" xfId="15" builtinId="11" customBuiltin="1"/>
  </cellStyles>
  <dxfs count="14">
    <dxf>
      <alignment horizontal="general" vertical="bottom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theme="1"/>
        </patternFill>
      </fill>
      <border diagonalUp="0" diagonalDown="0">
        <left style="medium">
          <color indexed="64"/>
        </left>
        <right style="medium">
          <color indexed="64"/>
        </right>
        <vertic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28303</xdr:colOff>
      <xdr:row>23</xdr:row>
      <xdr:rowOff>0</xdr:rowOff>
    </xdr:from>
    <xdr:to>
      <xdr:col>3</xdr:col>
      <xdr:colOff>637903</xdr:colOff>
      <xdr:row>23</xdr:row>
      <xdr:rowOff>21990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935CA020-8EB3-A4AE-8B56-98D741FE0F80}"/>
            </a:ext>
          </a:extLst>
        </xdr:cNvPr>
        <xdr:cNvGrpSpPr/>
      </xdr:nvGrpSpPr>
      <xdr:grpSpPr>
        <a:xfrm>
          <a:off x="6400800" y="5029200"/>
          <a:ext cx="0" cy="21990"/>
          <a:chOff x="7246833" y="686772"/>
          <a:chExt cx="609600" cy="365760"/>
        </a:xfrm>
      </xdr:grpSpPr>
      <xdr:sp macro="" textlink="">
        <xdr:nvSpPr>
          <xdr:cNvPr id="2" name="Arrow: Left 1">
            <a:extLst>
              <a:ext uri="{FF2B5EF4-FFF2-40B4-BE49-F238E27FC236}">
                <a16:creationId xmlns:a16="http://schemas.microsoft.com/office/drawing/2014/main" id="{56021FCE-8702-1091-5481-B648BB302D16}"/>
              </a:ext>
            </a:extLst>
          </xdr:cNvPr>
          <xdr:cNvSpPr/>
        </xdr:nvSpPr>
        <xdr:spPr>
          <a:xfrm>
            <a:off x="7246833" y="686772"/>
            <a:ext cx="609600" cy="365760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28E0BC47-0281-1760-DB9B-37E093D461DD}"/>
              </a:ext>
            </a:extLst>
          </xdr:cNvPr>
          <xdr:cNvSpPr txBox="1"/>
        </xdr:nvSpPr>
        <xdr:spPr>
          <a:xfrm>
            <a:off x="7398383" y="731641"/>
            <a:ext cx="44307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>
                <a:solidFill>
                  <a:schemeClr val="bg1"/>
                </a:solidFill>
              </a:rPr>
              <a:t>WIN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AD5ED2-8F86-4112-8E80-3450D19917DE}" name="Table2" displayName="Table2" ref="A1:H23" totalsRowShown="0" headerRowDxfId="13" headerRowBorderDxfId="12">
  <tableColumns count="8">
    <tableColumn id="1" xr3:uid="{CBDA8366-B804-4D59-9DF8-3C567D5E1491}" name="Metric"/>
    <tableColumn id="6" xr3:uid="{08D5FB26-A16A-454F-AFB4-BE4734554A06}" name="WHY IT MATTERS" dataDxfId="11"/>
    <tableColumn id="2" xr3:uid="{28D600F7-7AF7-4DDF-B875-3558082B5298}" name="Olivia &quot;Liv&quot; Monroe"/>
    <tableColumn id="8" xr3:uid="{286A3C71-1FEF-410C-B32C-D1205D6FAF0D}" name=" "/>
    <tableColumn id="3" xr3:uid="{DFE30A59-6441-4710-B14A-3C16849A0E6B}" name="Dylan Park"/>
    <tableColumn id="7" xr3:uid="{9AE48A03-0CB6-476D-BA9F-D84A8E5D20E8}" name="Column1" dataDxfId="10"/>
    <tableColumn id="4" xr3:uid="{E68DC0BF-A927-47E6-98BE-E84D710FDC3C}" name="INFLUENCER A"/>
    <tableColumn id="5" xr3:uid="{7FAD8F00-D997-4C96-B400-DB2DCC31264B}" name="INFLUENCER B" dataDxfId="9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1D855F-213C-4614-B2F6-5DE0C06E8E8E}" name="Table22" displayName="Table22" ref="A1:E8" totalsRowShown="0" headerRowDxfId="8" dataDxfId="7" headerRowBorderDxfId="5" tableBorderDxfId="6">
  <autoFilter ref="A1:E8" xr:uid="{542720FD-ADD2-435D-9236-E14AA4A50A5B}"/>
  <tableColumns count="5">
    <tableColumn id="1" xr3:uid="{3320B694-BE93-4189-A076-127CA600B942}" name="Step" dataDxfId="4"/>
    <tableColumn id="2" xr3:uid="{1C3966D7-0E0C-4893-9383-97CB0286E14C}" name="Action" dataDxfId="3"/>
    <tableColumn id="3" xr3:uid="{B4D51512-8EF2-404F-BBFA-9E0657336081}" name="Why It Matters" dataDxfId="2"/>
    <tableColumn id="4" xr3:uid="{8734E790-4CC3-48C8-A7E3-8A0D78F8464C}" name="Formula Example" dataDxfId="1"/>
    <tableColumn id="5" xr3:uid="{DA0E667F-3B67-4D87-BD48-3932D45D678C}" name="Formula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7DD9E-7F57-4979-AE7A-6DDDE9FF18D3}">
  <dimension ref="A1:H25"/>
  <sheetViews>
    <sheetView tabSelected="1" zoomScale="140" zoomScaleNormal="140" workbookViewId="0">
      <selection activeCell="B16" sqref="B16"/>
    </sheetView>
  </sheetViews>
  <sheetFormatPr defaultRowHeight="14.45"/>
  <cols>
    <col min="1" max="1" width="42.7109375" customWidth="1"/>
    <col min="2" max="2" width="42.140625" customWidth="1"/>
    <col min="3" max="3" width="11.140625" customWidth="1"/>
    <col min="4" max="4" width="1.28515625" hidden="1" customWidth="1"/>
    <col min="5" max="5" width="11.140625" customWidth="1"/>
    <col min="6" max="6" width="0.85546875" customWidth="1"/>
    <col min="7" max="7" width="19" customWidth="1"/>
    <col min="8" max="8" width="19.42578125" customWidth="1"/>
  </cols>
  <sheetData>
    <row r="1" spans="1:8" ht="36.75" customHeight="1" thickBot="1">
      <c r="A1" s="83" t="s">
        <v>0</v>
      </c>
      <c r="B1" s="84" t="s">
        <v>1</v>
      </c>
      <c r="C1" s="85" t="s">
        <v>2</v>
      </c>
      <c r="D1" s="85" t="s">
        <v>3</v>
      </c>
      <c r="E1" s="86" t="s">
        <v>4</v>
      </c>
      <c r="F1" s="79" t="s">
        <v>5</v>
      </c>
      <c r="G1" s="67" t="s">
        <v>6</v>
      </c>
      <c r="H1" s="8" t="s">
        <v>7</v>
      </c>
    </row>
    <row r="2" spans="1:8" ht="15.6" hidden="1" customHeight="1">
      <c r="A2" s="57" t="s">
        <v>8</v>
      </c>
      <c r="B2" s="63"/>
      <c r="C2" s="92">
        <v>129900</v>
      </c>
      <c r="D2" s="93"/>
      <c r="E2" s="94">
        <v>48500</v>
      </c>
      <c r="F2" s="76"/>
      <c r="G2" s="68"/>
      <c r="H2" s="65"/>
    </row>
    <row r="3" spans="1:8" hidden="1">
      <c r="A3" s="57" t="s">
        <v>9</v>
      </c>
      <c r="B3" s="59"/>
      <c r="C3" s="95">
        <v>225700</v>
      </c>
      <c r="D3" s="95"/>
      <c r="E3" s="96">
        <v>64300</v>
      </c>
      <c r="F3" s="77"/>
      <c r="G3" s="69"/>
      <c r="H3" s="64"/>
    </row>
    <row r="4" spans="1:8" hidden="1">
      <c r="A4" s="6" t="s">
        <v>10</v>
      </c>
      <c r="B4" s="60"/>
      <c r="C4" s="95">
        <v>137000</v>
      </c>
      <c r="D4" s="95"/>
      <c r="E4" s="96">
        <v>0</v>
      </c>
      <c r="F4" s="77"/>
      <c r="G4" s="2"/>
      <c r="H4" s="62"/>
    </row>
    <row r="5" spans="1:8" hidden="1">
      <c r="A5" s="6" t="s">
        <v>11</v>
      </c>
      <c r="B5" s="3"/>
      <c r="C5" s="95">
        <v>140300</v>
      </c>
      <c r="D5" s="95"/>
      <c r="E5" s="96">
        <v>57100</v>
      </c>
      <c r="F5" s="77"/>
      <c r="G5" s="2"/>
      <c r="H5" s="62"/>
    </row>
    <row r="6" spans="1:8" hidden="1">
      <c r="A6" s="6" t="s">
        <v>12</v>
      </c>
      <c r="B6" s="60"/>
      <c r="C6" s="95">
        <v>196700</v>
      </c>
      <c r="D6" s="95"/>
      <c r="E6" s="96">
        <v>128600</v>
      </c>
      <c r="F6" s="77"/>
      <c r="G6" s="2"/>
      <c r="H6" s="62"/>
    </row>
    <row r="7" spans="1:8" ht="15" hidden="1" thickBot="1">
      <c r="A7" s="58" t="s">
        <v>13</v>
      </c>
      <c r="B7" s="61"/>
      <c r="C7" s="95">
        <v>137000</v>
      </c>
      <c r="D7" s="95"/>
      <c r="E7" s="96">
        <v>0</v>
      </c>
      <c r="F7" s="78"/>
      <c r="G7" s="70"/>
      <c r="H7" s="66"/>
    </row>
    <row r="8" spans="1:8" ht="43.9" thickBot="1">
      <c r="A8" s="87" t="s">
        <v>14</v>
      </c>
      <c r="B8" s="88" t="s">
        <v>15</v>
      </c>
      <c r="C8" s="89">
        <f>SUM(C2:C7)</f>
        <v>966600</v>
      </c>
      <c r="D8" s="90"/>
      <c r="E8" s="91">
        <f>SUM(E2:E7)</f>
        <v>298500</v>
      </c>
      <c r="F8" s="80">
        <f t="shared" ref="F8:H8" si="0">SUM(F2:F7)</f>
        <v>0</v>
      </c>
      <c r="G8" s="71">
        <f t="shared" si="0"/>
        <v>0</v>
      </c>
      <c r="H8" s="10">
        <f t="shared" si="0"/>
        <v>0</v>
      </c>
    </row>
    <row r="9" spans="1:8" ht="10.5" customHeight="1" thickBot="1">
      <c r="A9" s="81"/>
      <c r="B9" s="11"/>
      <c r="C9" s="82"/>
      <c r="D9" s="82"/>
      <c r="E9" s="82"/>
      <c r="F9" s="72"/>
      <c r="G9" s="12"/>
      <c r="H9" s="101"/>
    </row>
    <row r="10" spans="1:8" ht="16.899999999999999" customHeight="1" thickBot="1">
      <c r="A10" s="104" t="s">
        <v>16</v>
      </c>
      <c r="B10" s="105"/>
      <c r="C10" s="100"/>
      <c r="D10" s="100"/>
      <c r="E10" s="100"/>
      <c r="F10" s="100"/>
      <c r="G10" s="106"/>
      <c r="H10" s="107"/>
    </row>
    <row r="11" spans="1:8" ht="16.899999999999999" customHeight="1">
      <c r="A11" s="46" t="s">
        <v>17</v>
      </c>
      <c r="B11" s="46" t="s">
        <v>18</v>
      </c>
      <c r="C11" s="73">
        <v>0.92</v>
      </c>
      <c r="D11" s="102"/>
      <c r="E11" s="75">
        <v>0.9</v>
      </c>
      <c r="F11" s="34"/>
      <c r="G11" s="99"/>
      <c r="H11" s="103"/>
    </row>
    <row r="12" spans="1:8" ht="16.899999999999999" customHeight="1">
      <c r="A12" s="46" t="s">
        <v>19</v>
      </c>
      <c r="B12" s="46" t="s">
        <v>20</v>
      </c>
      <c r="C12" s="2">
        <v>250000</v>
      </c>
      <c r="D12" s="20"/>
      <c r="E12" s="1">
        <v>92274</v>
      </c>
      <c r="F12" s="34"/>
      <c r="G12" s="42"/>
      <c r="H12" s="29"/>
    </row>
    <row r="13" spans="1:8" ht="16.899999999999999" hidden="1" customHeight="1">
      <c r="A13" s="46" t="s">
        <v>21</v>
      </c>
      <c r="B13" s="46" t="s">
        <v>22</v>
      </c>
      <c r="C13" s="26">
        <v>13000</v>
      </c>
      <c r="D13" s="21"/>
      <c r="E13" s="27">
        <v>8200</v>
      </c>
      <c r="F13" s="35"/>
      <c r="G13" s="42"/>
      <c r="H13" s="29"/>
    </row>
    <row r="14" spans="1:8" ht="16.899999999999999" hidden="1" customHeight="1">
      <c r="A14" s="46" t="s">
        <v>23</v>
      </c>
      <c r="B14" s="46" t="s">
        <v>24</v>
      </c>
      <c r="C14" s="2">
        <v>200</v>
      </c>
      <c r="D14" s="20"/>
      <c r="E14" s="1">
        <v>120</v>
      </c>
      <c r="F14" s="34"/>
      <c r="G14" s="42"/>
      <c r="H14" s="29"/>
    </row>
    <row r="15" spans="1:8" ht="16.899999999999999" customHeight="1">
      <c r="A15" s="46" t="s">
        <v>25</v>
      </c>
      <c r="B15" s="46" t="s">
        <v>26</v>
      </c>
      <c r="C15" s="97">
        <v>5.2999999999999999E-2</v>
      </c>
      <c r="D15" s="74"/>
      <c r="E15" s="98">
        <v>2.5000000000000001E-2</v>
      </c>
      <c r="F15" s="34"/>
      <c r="G15" s="41"/>
      <c r="H15" s="28"/>
    </row>
    <row r="16" spans="1:8" ht="16.899999999999999" customHeight="1">
      <c r="A16" s="47" t="s">
        <v>27</v>
      </c>
      <c r="B16" s="46" t="s">
        <v>28</v>
      </c>
      <c r="C16" s="5">
        <v>0.21</v>
      </c>
      <c r="D16" s="23"/>
      <c r="E16" s="33">
        <v>0.38</v>
      </c>
      <c r="F16" s="34"/>
      <c r="G16" s="52"/>
      <c r="H16" s="28"/>
    </row>
    <row r="17" spans="1:8">
      <c r="A17" s="47" t="s">
        <v>29</v>
      </c>
      <c r="B17" s="56" t="s">
        <v>30</v>
      </c>
      <c r="C17" s="31">
        <v>88</v>
      </c>
      <c r="D17" s="32"/>
      <c r="E17" s="38">
        <v>88</v>
      </c>
      <c r="F17" s="34"/>
      <c r="G17" s="52"/>
      <c r="H17" s="28"/>
    </row>
    <row r="18" spans="1:8">
      <c r="A18" s="47" t="s">
        <v>31</v>
      </c>
      <c r="B18" s="56" t="s">
        <v>32</v>
      </c>
      <c r="C18" s="7">
        <v>2.8000000000000001E-2</v>
      </c>
      <c r="D18" s="22"/>
      <c r="E18" s="39">
        <v>5.1999999999999998E-2</v>
      </c>
      <c r="F18" s="34"/>
      <c r="G18" s="52"/>
      <c r="H18" s="28"/>
    </row>
    <row r="19" spans="1:8" ht="16.899999999999999" customHeight="1">
      <c r="A19" s="47" t="s">
        <v>33</v>
      </c>
      <c r="B19" s="46" t="s">
        <v>34</v>
      </c>
      <c r="C19" s="18" t="s">
        <v>35</v>
      </c>
      <c r="D19" s="25"/>
      <c r="E19" s="40" t="s">
        <v>35</v>
      </c>
      <c r="F19" s="34"/>
      <c r="G19" s="52"/>
      <c r="H19" s="28"/>
    </row>
    <row r="20" spans="1:8" ht="34.9" customHeight="1" thickBot="1">
      <c r="A20" s="47" t="s">
        <v>36</v>
      </c>
      <c r="B20" s="46" t="s">
        <v>37</v>
      </c>
      <c r="C20" s="53" t="s">
        <v>38</v>
      </c>
      <c r="D20" s="54"/>
      <c r="E20" s="55" t="s">
        <v>38</v>
      </c>
      <c r="F20" s="36"/>
      <c r="G20" s="43"/>
      <c r="H20" s="30"/>
    </row>
    <row r="21" spans="1:8" ht="34.9" customHeight="1" thickBot="1">
      <c r="A21" s="48" t="s">
        <v>39</v>
      </c>
      <c r="B21" s="49" t="s">
        <v>40</v>
      </c>
      <c r="C21" s="9">
        <f>C8*C11</f>
        <v>889272</v>
      </c>
      <c r="D21" s="9"/>
      <c r="E21" s="9">
        <f>E8*E11</f>
        <v>268650</v>
      </c>
      <c r="F21" s="45"/>
      <c r="G21" s="9">
        <f>G8*G11</f>
        <v>0</v>
      </c>
      <c r="H21" s="9">
        <f>H8*H11</f>
        <v>0</v>
      </c>
    </row>
    <row r="22" spans="1:8" ht="37.9" customHeight="1" thickBot="1">
      <c r="A22" s="50" t="s">
        <v>41</v>
      </c>
      <c r="B22" s="49" t="s">
        <v>42</v>
      </c>
      <c r="C22" s="9">
        <f>C21*C15</f>
        <v>47131.415999999997</v>
      </c>
      <c r="D22" s="24"/>
      <c r="E22" s="37">
        <f>E21*E15</f>
        <v>6716.25</v>
      </c>
      <c r="F22" s="45"/>
      <c r="G22" s="44" t="e">
        <f>G21*#REF!</f>
        <v>#REF!</v>
      </c>
      <c r="H22" s="4" t="e">
        <f>H21*#REF!</f>
        <v>#REF!</v>
      </c>
    </row>
    <row r="23" spans="1:8" ht="71.45" thickBot="1">
      <c r="A23" s="50" t="s">
        <v>43</v>
      </c>
      <c r="B23" s="51" t="s">
        <v>44</v>
      </c>
      <c r="C23" s="9">
        <f>C22/C16</f>
        <v>224435.3142857143</v>
      </c>
      <c r="D23" s="9" t="e">
        <f t="shared" ref="D23:E23" si="1">D22/D16</f>
        <v>#DIV/0!</v>
      </c>
      <c r="E23" s="37">
        <f t="shared" si="1"/>
        <v>17674.342105263157</v>
      </c>
      <c r="F23" s="45" t="e">
        <f t="shared" ref="F23" si="2">F22/F16</f>
        <v>#DIV/0!</v>
      </c>
      <c r="G23" s="9" t="e">
        <f t="shared" ref="G23" si="3">G22/G16</f>
        <v>#REF!</v>
      </c>
      <c r="H23" s="9" t="e">
        <f t="shared" ref="H23" si="4">H22/H16</f>
        <v>#REF!</v>
      </c>
    </row>
    <row r="24" spans="1:8" ht="21.6" customHeight="1"/>
    <row r="25" spans="1:8" s="19" customFormat="1" ht="49.9" customHeight="1">
      <c r="A25"/>
      <c r="B25"/>
      <c r="C25"/>
      <c r="D25"/>
      <c r="E25"/>
      <c r="F25"/>
      <c r="G25"/>
      <c r="H25"/>
    </row>
  </sheetData>
  <pageMargins left="0.7" right="0.7" top="0.75" bottom="0.75" header="0.3" footer="0.3"/>
  <ignoredErrors>
    <ignoredError sqref="G22:H22 F23 G23:H23" evalError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A0B7-4F0C-4B8F-904B-66BC027FFA8F}">
  <dimension ref="A1:E8"/>
  <sheetViews>
    <sheetView workbookViewId="0">
      <selection activeCell="E2" sqref="E2"/>
    </sheetView>
  </sheetViews>
  <sheetFormatPr defaultRowHeight="14.45"/>
  <cols>
    <col min="1" max="1" width="19.28515625" customWidth="1"/>
    <col min="2" max="2" width="35.7109375" customWidth="1"/>
    <col min="3" max="3" width="34.5703125" customWidth="1"/>
    <col min="4" max="4" width="47.85546875" hidden="1" customWidth="1"/>
    <col min="5" max="5" width="41" customWidth="1"/>
  </cols>
  <sheetData>
    <row r="1" spans="1:5">
      <c r="A1" s="13" t="s">
        <v>45</v>
      </c>
      <c r="B1" s="13" t="s">
        <v>46</v>
      </c>
      <c r="C1" s="13" t="s">
        <v>47</v>
      </c>
      <c r="D1" s="13" t="s">
        <v>48</v>
      </c>
      <c r="E1" s="13" t="s">
        <v>49</v>
      </c>
    </row>
    <row r="2" spans="1:5" ht="57.6">
      <c r="A2" s="14" t="s">
        <v>50</v>
      </c>
      <c r="B2" s="15" t="s">
        <v>51</v>
      </c>
      <c r="C2" s="15" t="s">
        <v>52</v>
      </c>
      <c r="D2" s="15" t="s">
        <v>53</v>
      </c>
      <c r="E2" s="16"/>
    </row>
    <row r="3" spans="1:5" ht="57.6">
      <c r="A3" s="14" t="s">
        <v>54</v>
      </c>
      <c r="B3" s="15" t="s">
        <v>55</v>
      </c>
      <c r="C3" s="15" t="s">
        <v>56</v>
      </c>
      <c r="D3" s="15" t="s">
        <v>53</v>
      </c>
      <c r="E3" s="16"/>
    </row>
    <row r="4" spans="1:5" ht="43.15">
      <c r="A4" s="14" t="s">
        <v>57</v>
      </c>
      <c r="B4" s="15" t="s">
        <v>58</v>
      </c>
      <c r="C4" s="15" t="s">
        <v>59</v>
      </c>
      <c r="D4" s="15" t="e">
        <f ca="1">Followers * (Authenticity % / 100)</f>
        <v>#NAME?</v>
      </c>
      <c r="E4" s="17" t="s">
        <v>60</v>
      </c>
    </row>
    <row r="5" spans="1:5" ht="43.15">
      <c r="A5" s="14" t="s">
        <v>61</v>
      </c>
      <c r="B5" s="15" t="s">
        <v>62</v>
      </c>
      <c r="C5" s="15" t="s">
        <v>63</v>
      </c>
      <c r="D5" s="15" t="e">
        <f ca="1">Effective Audience * (Engagement _xludf.Rate / 100)</f>
        <v>#NAME?</v>
      </c>
      <c r="E5" s="17" t="s">
        <v>64</v>
      </c>
    </row>
    <row r="6" spans="1:5" ht="57.6">
      <c r="A6" s="14" t="s">
        <v>65</v>
      </c>
      <c r="B6" s="15" t="s">
        <v>66</v>
      </c>
      <c r="C6" s="15" t="s">
        <v>67</v>
      </c>
      <c r="D6" s="15" t="e">
        <f ca="1">Effective Engagement / CPE</f>
        <v>#NAME?</v>
      </c>
      <c r="E6" s="17" t="s">
        <v>68</v>
      </c>
    </row>
    <row r="7" spans="1:5" ht="57.6">
      <c r="A7" s="14" t="s">
        <v>69</v>
      </c>
      <c r="B7" s="15" t="s">
        <v>70</v>
      </c>
      <c r="C7" s="15" t="s">
        <v>71</v>
      </c>
      <c r="D7" s="15" t="s">
        <v>72</v>
      </c>
      <c r="E7" s="16"/>
    </row>
    <row r="8" spans="1:5" ht="57.6">
      <c r="A8" s="14" t="s">
        <v>73</v>
      </c>
      <c r="B8" s="15" t="s">
        <v>74</v>
      </c>
      <c r="C8" s="15" t="s">
        <v>75</v>
      </c>
      <c r="D8" s="15" t="s">
        <v>76</v>
      </c>
      <c r="E8" s="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 Zeller</dc:creator>
  <cp:keywords/>
  <dc:description/>
  <cp:lastModifiedBy/>
  <cp:revision/>
  <dcterms:created xsi:type="dcterms:W3CDTF">2025-10-16T15:28:47Z</dcterms:created>
  <dcterms:modified xsi:type="dcterms:W3CDTF">2025-11-30T20:50:45Z</dcterms:modified>
  <cp:category/>
  <cp:contentStatus/>
</cp:coreProperties>
</file>